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ocuments\Project Mathematic AI\"/>
    </mc:Choice>
  </mc:AlternateContent>
  <xr:revisionPtr revIDLastSave="0" documentId="13_ncr:1_{8B9571DA-9531-48E2-A0CA-4B52594BE737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Dataset" sheetId="1" r:id="rId1"/>
    <sheet name="Iterasi 1" sheetId="2" r:id="rId2"/>
    <sheet name="Iterasi 2" sheetId="7" r:id="rId3"/>
    <sheet name="Iterasi 3" sheetId="8" r:id="rId4"/>
    <sheet name="Iterasi 4" sheetId="9" r:id="rId5"/>
    <sheet name="Iterasi 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0" l="1"/>
  <c r="B23" i="10" s="1"/>
  <c r="C14" i="10" a="1"/>
  <c r="B14" i="10"/>
  <c r="B21" i="10" s="1"/>
  <c r="B14" i="10" a="1"/>
  <c r="C13" i="10"/>
  <c r="B22" i="10" s="1"/>
  <c r="C13" i="10" a="1"/>
  <c r="B13" i="10" a="1"/>
  <c r="B13" i="10" s="1"/>
  <c r="B20" i="10" s="1"/>
  <c r="C9" i="10"/>
  <c r="B9" i="10"/>
  <c r="C8" i="10"/>
  <c r="B8" i="10"/>
  <c r="C4" i="10"/>
  <c r="B4" i="10"/>
  <c r="B3" i="10"/>
  <c r="C3" i="10" s="1"/>
  <c r="C14" i="9" a="1"/>
  <c r="C14" i="9" s="1"/>
  <c r="B23" i="9" s="1"/>
  <c r="B14" i="9" a="1"/>
  <c r="B14" i="9" s="1"/>
  <c r="B21" i="9" s="1"/>
  <c r="C13" i="9" a="1"/>
  <c r="C13" i="9" s="1"/>
  <c r="B22" i="9" s="1"/>
  <c r="B13" i="9" a="1"/>
  <c r="B13" i="9" s="1"/>
  <c r="B20" i="9" s="1"/>
  <c r="C9" i="9"/>
  <c r="B9" i="9"/>
  <c r="C8" i="9"/>
  <c r="B8" i="9"/>
  <c r="B4" i="9"/>
  <c r="C4" i="9" s="1"/>
  <c r="B3" i="9"/>
  <c r="C3" i="9" s="1"/>
  <c r="C14" i="8" a="1"/>
  <c r="C14" i="8" s="1"/>
  <c r="B23" i="8" s="1"/>
  <c r="B14" i="8" a="1"/>
  <c r="B14" i="8" s="1"/>
  <c r="B21" i="8" s="1"/>
  <c r="C13" i="8" a="1"/>
  <c r="C13" i="8" s="1"/>
  <c r="B22" i="8" s="1"/>
  <c r="B13" i="8" a="1"/>
  <c r="B13" i="8" s="1"/>
  <c r="B20" i="8" s="1"/>
  <c r="C9" i="8"/>
  <c r="B9" i="8"/>
  <c r="C8" i="8"/>
  <c r="B8" i="8"/>
  <c r="B4" i="8"/>
  <c r="C4" i="8" s="1"/>
  <c r="B3" i="8"/>
  <c r="C3" i="8" s="1"/>
  <c r="C14" i="7" a="1"/>
  <c r="C14" i="7" s="1"/>
  <c r="B23" i="7" s="1"/>
  <c r="B14" i="7" a="1"/>
  <c r="B14" i="7" s="1"/>
  <c r="B21" i="7" s="1"/>
  <c r="C13" i="7" a="1"/>
  <c r="C13" i="7" s="1"/>
  <c r="B22" i="7" s="1"/>
  <c r="B13" i="7" a="1"/>
  <c r="B13" i="7" s="1"/>
  <c r="B20" i="7" s="1"/>
  <c r="C9" i="7"/>
  <c r="B9" i="7"/>
  <c r="C8" i="7"/>
  <c r="B8" i="7"/>
  <c r="B4" i="7"/>
  <c r="C4" i="7" s="1"/>
  <c r="B3" i="7"/>
  <c r="C3" i="7" s="1"/>
  <c r="B23" i="2"/>
  <c r="B22" i="2"/>
  <c r="B21" i="2"/>
  <c r="B20" i="2"/>
  <c r="B25" i="2" s="1"/>
  <c r="C14" i="2" a="1"/>
  <c r="C14" i="2"/>
  <c r="C13" i="2" a="1"/>
  <c r="C13" i="2"/>
  <c r="B14" i="2" a="1"/>
  <c r="B14" i="2" s="1"/>
  <c r="B13" i="2" a="1"/>
  <c r="B13" i="2" s="1"/>
  <c r="C9" i="2"/>
  <c r="C8" i="2"/>
  <c r="B9" i="2"/>
  <c r="B8" i="2"/>
  <c r="C4" i="2"/>
  <c r="C3" i="2"/>
  <c r="B4" i="2"/>
  <c r="B3" i="2"/>
  <c r="B26" i="10" l="1"/>
  <c r="B26" i="9"/>
  <c r="B26" i="2"/>
  <c r="B28" i="2"/>
  <c r="B25" i="10"/>
  <c r="B28" i="10" s="1"/>
  <c r="B25" i="9"/>
  <c r="B28" i="9" s="1"/>
  <c r="B25" i="8"/>
  <c r="B26" i="8"/>
  <c r="B25" i="7"/>
  <c r="B26" i="7"/>
  <c r="B28" i="7" l="1"/>
  <c r="B2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<sst xmlns="http://schemas.openxmlformats.org/spreadsheetml/2006/main" count="200" uniqueCount="28">
  <si>
    <t>No</t>
  </si>
  <si>
    <t>Jam Belajar (X1)</t>
  </si>
  <si>
    <t>Kehadiran (%) (X2)</t>
  </si>
  <si>
    <t>Kelas (Y)</t>
  </si>
  <si>
    <t>Tidak Lulus</t>
  </si>
  <si>
    <t>Lulus</t>
  </si>
  <si>
    <t>Keterangan</t>
  </si>
  <si>
    <t>Jumlah</t>
  </si>
  <si>
    <t>Probabilitas</t>
  </si>
  <si>
    <t>Total data</t>
  </si>
  <si>
    <t>MEAN (Rata-rata)</t>
  </si>
  <si>
    <t>Kelas</t>
  </si>
  <si>
    <t>VARIANCE</t>
  </si>
  <si>
    <t xml:space="preserve">Jam Belajar </t>
  </si>
  <si>
    <t>Data Uji</t>
  </si>
  <si>
    <t>P(X1 | Lulus)</t>
  </si>
  <si>
    <t>P(X1 | Tidak Lulus)</t>
  </si>
  <si>
    <t>P(X2 | Lulus)</t>
  </si>
  <si>
    <t>P(X2 | Tidak Lulus)</t>
  </si>
  <si>
    <t>Probabilitas Lulus</t>
  </si>
  <si>
    <t>Probabilitas Tidak Lulus</t>
  </si>
  <si>
    <t>Prediksi</t>
  </si>
  <si>
    <t>2. Mean dan variance digunakan untuk menentukan parameter distribusi Gaussian setiap fitur.</t>
  </si>
  <si>
    <t>1. Probabilitas awal dihitung berdasarkan jumlah data pada masing-masing kelas.</t>
  </si>
  <si>
    <t>3. Probabilitas Gaussian dihitung untuk setiap fitur berdasarkan data uji.</t>
  </si>
  <si>
    <t>4. Probabilitas akhir diperoleh dari perkalian probabilitas awal dan probabilitas Gaussian.</t>
  </si>
  <si>
    <t>5. Prediksi ditentukan berdasarkan nilai probabilitas akhir terbesar.</t>
  </si>
  <si>
    <t>PENJELASAN SINGKAT ITERASI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</si>
</sst>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/>
    <xf numFmtId="0" fontId="1" fillId="0" borderId="0" xfId="0" applyFont="1" applyFill="1" applyBorder="1" applyAlignment="1"/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A2" sqref="A2"/>
    </sheetView>
  </sheetViews>
  <sheetFormatPr defaultRowHeight="14.5" x14ac:dyDescent="0.35"/>
  <cols>
    <col min="1" max="1" width="17.90625" customWidth="1"/>
    <col min="2" max="2" width="15.90625" customWidth="1"/>
    <col min="3" max="3" width="21.7265625" customWidth="1"/>
    <col min="4" max="4" width="20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>
        <v>1</v>
      </c>
      <c r="C2" s="2">
        <v>50</v>
      </c>
      <c r="D2" s="2" t="s">
        <v>4</v>
      </c>
    </row>
    <row r="3" spans="1:4" x14ac:dyDescent="0.35">
      <c r="A3" s="2">
        <v>2</v>
      </c>
      <c r="B3" s="2">
        <v>2</v>
      </c>
      <c r="C3" s="2">
        <v>55</v>
      </c>
      <c r="D3" s="2" t="s">
        <v>4</v>
      </c>
    </row>
    <row r="4" spans="1:4" x14ac:dyDescent="0.35">
      <c r="A4" s="2">
        <v>3</v>
      </c>
      <c r="B4" s="2">
        <v>2</v>
      </c>
      <c r="C4" s="2">
        <v>60</v>
      </c>
      <c r="D4" s="2" t="s">
        <v>4</v>
      </c>
    </row>
    <row r="5" spans="1:4" x14ac:dyDescent="0.35">
      <c r="A5" s="2">
        <v>4</v>
      </c>
      <c r="B5" s="2">
        <v>3</v>
      </c>
      <c r="C5" s="2">
        <v>58</v>
      </c>
      <c r="D5" s="2" t="s">
        <v>4</v>
      </c>
    </row>
    <row r="6" spans="1:4" x14ac:dyDescent="0.35">
      <c r="A6" s="2">
        <v>5</v>
      </c>
      <c r="B6" s="2">
        <v>3</v>
      </c>
      <c r="C6" s="2">
        <v>62</v>
      </c>
      <c r="D6" s="2" t="s">
        <v>4</v>
      </c>
    </row>
    <row r="7" spans="1:4" x14ac:dyDescent="0.35">
      <c r="A7" s="2">
        <v>6</v>
      </c>
      <c r="B7" s="2">
        <v>4</v>
      </c>
      <c r="C7" s="2">
        <v>65</v>
      </c>
      <c r="D7" s="2" t="s">
        <v>4</v>
      </c>
    </row>
    <row r="8" spans="1:4" x14ac:dyDescent="0.35">
      <c r="A8" s="2">
        <v>7</v>
      </c>
      <c r="B8" s="2">
        <v>4</v>
      </c>
      <c r="C8" s="2">
        <v>68</v>
      </c>
      <c r="D8" s="2" t="s">
        <v>4</v>
      </c>
    </row>
    <row r="9" spans="1:4" x14ac:dyDescent="0.35">
      <c r="A9" s="2">
        <v>8</v>
      </c>
      <c r="B9" s="2">
        <v>5</v>
      </c>
      <c r="C9" s="2">
        <v>70</v>
      </c>
      <c r="D9" s="2" t="s">
        <v>5</v>
      </c>
    </row>
    <row r="10" spans="1:4" x14ac:dyDescent="0.35">
      <c r="A10" s="2">
        <v>9</v>
      </c>
      <c r="B10" s="2">
        <v>5</v>
      </c>
      <c r="C10" s="2">
        <v>72</v>
      </c>
      <c r="D10" s="2" t="s">
        <v>5</v>
      </c>
    </row>
    <row r="11" spans="1:4" x14ac:dyDescent="0.35">
      <c r="A11" s="2">
        <v>10</v>
      </c>
      <c r="B11" s="2">
        <v>6</v>
      </c>
      <c r="C11" s="2">
        <v>75</v>
      </c>
      <c r="D11" s="2" t="s">
        <v>5</v>
      </c>
    </row>
    <row r="12" spans="1:4" x14ac:dyDescent="0.35">
      <c r="A12" s="2">
        <v>11</v>
      </c>
      <c r="B12" s="2">
        <v>6</v>
      </c>
      <c r="C12" s="2">
        <v>78</v>
      </c>
      <c r="D12" s="2" t="s">
        <v>5</v>
      </c>
    </row>
    <row r="13" spans="1:4" x14ac:dyDescent="0.35">
      <c r="A13" s="2">
        <v>12</v>
      </c>
      <c r="B13" s="2">
        <v>7</v>
      </c>
      <c r="C13" s="2">
        <v>80</v>
      </c>
      <c r="D13" s="2" t="s">
        <v>5</v>
      </c>
    </row>
    <row r="14" spans="1:4" x14ac:dyDescent="0.35">
      <c r="A14" s="2">
        <v>13</v>
      </c>
      <c r="B14" s="2">
        <v>7</v>
      </c>
      <c r="C14" s="2">
        <v>82</v>
      </c>
      <c r="D14" s="2" t="s">
        <v>5</v>
      </c>
    </row>
    <row r="15" spans="1:4" x14ac:dyDescent="0.35">
      <c r="A15" s="2">
        <v>14</v>
      </c>
      <c r="B15" s="2">
        <v>8</v>
      </c>
      <c r="C15" s="2">
        <v>85</v>
      </c>
      <c r="D15" s="2" t="s">
        <v>5</v>
      </c>
    </row>
    <row r="16" spans="1:4" x14ac:dyDescent="0.35">
      <c r="A16" s="2">
        <v>15</v>
      </c>
      <c r="B16" s="2">
        <v>8</v>
      </c>
      <c r="C16" s="2">
        <v>88</v>
      </c>
      <c r="D16" s="2" t="s">
        <v>5</v>
      </c>
    </row>
    <row r="17" spans="1:4" x14ac:dyDescent="0.35">
      <c r="A17" s="2">
        <v>16</v>
      </c>
      <c r="B17" s="2">
        <v>9</v>
      </c>
      <c r="C17" s="2">
        <v>90</v>
      </c>
      <c r="D17" s="2" t="s">
        <v>5</v>
      </c>
    </row>
    <row r="18" spans="1:4" x14ac:dyDescent="0.35">
      <c r="A18" s="2">
        <v>17</v>
      </c>
      <c r="B18" s="2">
        <v>1</v>
      </c>
      <c r="C18" s="2">
        <v>52</v>
      </c>
      <c r="D18" s="2" t="s">
        <v>4</v>
      </c>
    </row>
    <row r="19" spans="1:4" x14ac:dyDescent="0.35">
      <c r="A19" s="2">
        <v>18</v>
      </c>
      <c r="B19" s="2">
        <v>2</v>
      </c>
      <c r="C19" s="2">
        <v>57</v>
      </c>
      <c r="D19" s="2" t="s">
        <v>4</v>
      </c>
    </row>
    <row r="20" spans="1:4" x14ac:dyDescent="0.35">
      <c r="A20" s="2">
        <v>19</v>
      </c>
      <c r="B20" s="2">
        <v>3</v>
      </c>
      <c r="C20" s="2">
        <v>60</v>
      </c>
      <c r="D20" s="2" t="s">
        <v>4</v>
      </c>
    </row>
    <row r="21" spans="1:4" x14ac:dyDescent="0.35">
      <c r="A21" s="2">
        <v>20</v>
      </c>
      <c r="B21" s="2">
        <v>4</v>
      </c>
      <c r="C21" s="2">
        <v>63</v>
      </c>
      <c r="D21" s="2" t="s">
        <v>4</v>
      </c>
    </row>
    <row r="22" spans="1:4" x14ac:dyDescent="0.35">
      <c r="A22" s="2">
        <v>21</v>
      </c>
      <c r="B22" s="2">
        <v>5</v>
      </c>
      <c r="C22" s="2">
        <v>68</v>
      </c>
      <c r="D22" s="2" t="s">
        <v>4</v>
      </c>
    </row>
    <row r="23" spans="1:4" x14ac:dyDescent="0.35">
      <c r="A23" s="2">
        <v>22</v>
      </c>
      <c r="B23" s="2">
        <v>6</v>
      </c>
      <c r="C23" s="2">
        <v>70</v>
      </c>
      <c r="D23" s="2" t="s">
        <v>5</v>
      </c>
    </row>
    <row r="24" spans="1:4" x14ac:dyDescent="0.35">
      <c r="A24" s="2">
        <v>23</v>
      </c>
      <c r="B24" s="2">
        <v>6</v>
      </c>
      <c r="C24" s="2">
        <v>73</v>
      </c>
      <c r="D24" s="2" t="s">
        <v>5</v>
      </c>
    </row>
    <row r="25" spans="1:4" x14ac:dyDescent="0.35">
      <c r="A25" s="2">
        <v>24</v>
      </c>
      <c r="B25" s="2">
        <v>7</v>
      </c>
      <c r="C25" s="2">
        <v>76</v>
      </c>
      <c r="D25" s="2" t="s">
        <v>5</v>
      </c>
    </row>
    <row r="26" spans="1:4" x14ac:dyDescent="0.35">
      <c r="A26" s="2">
        <v>25</v>
      </c>
      <c r="B26" s="2">
        <v>8</v>
      </c>
      <c r="C26" s="2">
        <v>78</v>
      </c>
      <c r="D26" s="2" t="s">
        <v>5</v>
      </c>
    </row>
    <row r="27" spans="1:4" x14ac:dyDescent="0.35">
      <c r="A27" s="2">
        <v>26</v>
      </c>
      <c r="B27" s="2">
        <v>9</v>
      </c>
      <c r="C27" s="2">
        <v>82</v>
      </c>
      <c r="D27" s="2" t="s">
        <v>5</v>
      </c>
    </row>
    <row r="28" spans="1:4" x14ac:dyDescent="0.35">
      <c r="A28" s="2">
        <v>27</v>
      </c>
      <c r="B28" s="2">
        <v>2</v>
      </c>
      <c r="C28" s="2">
        <v>54</v>
      </c>
      <c r="D28" s="2" t="s">
        <v>4</v>
      </c>
    </row>
    <row r="29" spans="1:4" x14ac:dyDescent="0.35">
      <c r="A29" s="2">
        <v>28</v>
      </c>
      <c r="B29" s="2">
        <v>3</v>
      </c>
      <c r="C29" s="2">
        <v>56</v>
      </c>
      <c r="D29" s="2" t="s">
        <v>4</v>
      </c>
    </row>
    <row r="30" spans="1:4" x14ac:dyDescent="0.35">
      <c r="A30" s="2">
        <v>29</v>
      </c>
      <c r="B30" s="2">
        <v>4</v>
      </c>
      <c r="C30" s="2">
        <v>59</v>
      </c>
      <c r="D30" s="2" t="s">
        <v>4</v>
      </c>
    </row>
    <row r="31" spans="1:4" x14ac:dyDescent="0.35">
      <c r="A31" s="2">
        <v>30</v>
      </c>
      <c r="B31" s="2">
        <v>5</v>
      </c>
      <c r="C31" s="2">
        <v>61</v>
      </c>
      <c r="D31" s="2" t="s">
        <v>4</v>
      </c>
    </row>
    <row r="32" spans="1:4" x14ac:dyDescent="0.35">
      <c r="A32" s="2">
        <v>31</v>
      </c>
      <c r="B32" s="2">
        <v>6</v>
      </c>
      <c r="C32" s="2">
        <v>65</v>
      </c>
      <c r="D32" s="2" t="s">
        <v>5</v>
      </c>
    </row>
    <row r="33" spans="1:4" x14ac:dyDescent="0.35">
      <c r="A33" s="2">
        <v>32</v>
      </c>
      <c r="B33" s="2">
        <v>7</v>
      </c>
      <c r="C33" s="2">
        <v>69</v>
      </c>
      <c r="D33" s="2" t="s">
        <v>5</v>
      </c>
    </row>
    <row r="34" spans="1:4" x14ac:dyDescent="0.35">
      <c r="A34" s="2">
        <v>33</v>
      </c>
      <c r="B34" s="2">
        <v>8</v>
      </c>
      <c r="C34" s="2">
        <v>72</v>
      </c>
      <c r="D34" s="2" t="s">
        <v>5</v>
      </c>
    </row>
    <row r="35" spans="1:4" x14ac:dyDescent="0.35">
      <c r="A35" s="2">
        <v>34</v>
      </c>
      <c r="B35" s="2">
        <v>9</v>
      </c>
      <c r="C35" s="2">
        <v>75</v>
      </c>
      <c r="D35" s="2" t="s">
        <v>5</v>
      </c>
    </row>
    <row r="36" spans="1:4" x14ac:dyDescent="0.35">
      <c r="A36" s="2">
        <v>35</v>
      </c>
      <c r="B36" s="2">
        <v>10</v>
      </c>
      <c r="C36" s="2">
        <v>80</v>
      </c>
      <c r="D36" s="2" t="s">
        <v>5</v>
      </c>
    </row>
    <row r="37" spans="1:4" x14ac:dyDescent="0.35">
      <c r="A37" s="2">
        <v>36</v>
      </c>
      <c r="B37" s="2">
        <v>3</v>
      </c>
      <c r="C37" s="2">
        <v>55</v>
      </c>
      <c r="D37" s="2" t="s">
        <v>4</v>
      </c>
    </row>
    <row r="38" spans="1:4" x14ac:dyDescent="0.35">
      <c r="A38" s="2">
        <v>37</v>
      </c>
      <c r="B38" s="2">
        <v>4</v>
      </c>
      <c r="C38" s="2">
        <v>57</v>
      </c>
      <c r="D38" s="2" t="s">
        <v>4</v>
      </c>
    </row>
    <row r="39" spans="1:4" x14ac:dyDescent="0.35">
      <c r="A39" s="2">
        <v>38</v>
      </c>
      <c r="B39" s="2">
        <v>5</v>
      </c>
      <c r="C39" s="2">
        <v>60</v>
      </c>
      <c r="D39" s="2" t="s">
        <v>4</v>
      </c>
    </row>
    <row r="40" spans="1:4" x14ac:dyDescent="0.35">
      <c r="A40" s="2">
        <v>39</v>
      </c>
      <c r="B40" s="2">
        <v>6</v>
      </c>
      <c r="C40" s="2">
        <v>63</v>
      </c>
      <c r="D40" s="2" t="s">
        <v>4</v>
      </c>
    </row>
    <row r="41" spans="1:4" x14ac:dyDescent="0.35">
      <c r="A41" s="2">
        <v>40</v>
      </c>
      <c r="B41" s="2">
        <v>7</v>
      </c>
      <c r="C41" s="2">
        <v>67</v>
      </c>
      <c r="D41" s="2" t="s">
        <v>5</v>
      </c>
    </row>
    <row r="42" spans="1:4" x14ac:dyDescent="0.35">
      <c r="A42" s="2">
        <v>41</v>
      </c>
      <c r="B42" s="2">
        <v>8</v>
      </c>
      <c r="C42" s="2">
        <v>70</v>
      </c>
      <c r="D42" s="2" t="s">
        <v>5</v>
      </c>
    </row>
    <row r="43" spans="1:4" x14ac:dyDescent="0.35">
      <c r="A43" s="2">
        <v>42</v>
      </c>
      <c r="B43" s="2">
        <v>9</v>
      </c>
      <c r="C43" s="2">
        <v>73</v>
      </c>
      <c r="D43" s="2" t="s">
        <v>5</v>
      </c>
    </row>
    <row r="44" spans="1:4" x14ac:dyDescent="0.35">
      <c r="A44" s="2">
        <v>43</v>
      </c>
      <c r="B44" s="2">
        <v>10</v>
      </c>
      <c r="C44" s="2">
        <v>76</v>
      </c>
      <c r="D44" s="2" t="s">
        <v>5</v>
      </c>
    </row>
    <row r="45" spans="1:4" x14ac:dyDescent="0.35">
      <c r="A45" s="2">
        <v>44</v>
      </c>
      <c r="B45" s="2">
        <v>2</v>
      </c>
      <c r="C45" s="2">
        <v>50</v>
      </c>
      <c r="D45" s="2" t="s">
        <v>4</v>
      </c>
    </row>
    <row r="46" spans="1:4" x14ac:dyDescent="0.35">
      <c r="A46" s="2">
        <v>45</v>
      </c>
      <c r="B46" s="2">
        <v>3</v>
      </c>
      <c r="C46" s="2">
        <v>53</v>
      </c>
      <c r="D46" s="2" t="s">
        <v>4</v>
      </c>
    </row>
    <row r="47" spans="1:4" x14ac:dyDescent="0.35">
      <c r="A47" s="2">
        <v>46</v>
      </c>
      <c r="B47" s="2">
        <v>4</v>
      </c>
      <c r="C47" s="2">
        <v>56</v>
      </c>
      <c r="D47" s="2" t="s">
        <v>4</v>
      </c>
    </row>
    <row r="48" spans="1:4" x14ac:dyDescent="0.35">
      <c r="A48" s="2">
        <v>47</v>
      </c>
      <c r="B48" s="2">
        <v>5</v>
      </c>
      <c r="C48" s="2">
        <v>59</v>
      </c>
      <c r="D48" s="2" t="s">
        <v>4</v>
      </c>
    </row>
    <row r="49" spans="1:4" x14ac:dyDescent="0.35">
      <c r="A49" s="2">
        <v>48</v>
      </c>
      <c r="B49" s="2">
        <v>6</v>
      </c>
      <c r="C49" s="2">
        <v>62</v>
      </c>
      <c r="D49" s="2" t="s">
        <v>4</v>
      </c>
    </row>
    <row r="50" spans="1:4" x14ac:dyDescent="0.35">
      <c r="A50" s="2">
        <v>49</v>
      </c>
      <c r="B50" s="2">
        <v>7</v>
      </c>
      <c r="C50" s="2">
        <v>65</v>
      </c>
      <c r="D50" s="2" t="s">
        <v>5</v>
      </c>
    </row>
    <row r="51" spans="1:4" x14ac:dyDescent="0.35">
      <c r="A51" s="2">
        <v>50</v>
      </c>
      <c r="B51" s="2">
        <v>8</v>
      </c>
      <c r="C51" s="2">
        <v>68</v>
      </c>
      <c r="D5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9440-A0B4-4693-8CF7-A414CBA4470F}">
  <dimension ref="A1:C42"/>
  <sheetViews>
    <sheetView topLeftCell="A13" zoomScale="77" workbookViewId="0">
      <selection activeCell="B19" sqref="B19"/>
    </sheetView>
  </sheetViews>
  <sheetFormatPr defaultRowHeight="14.5" x14ac:dyDescent="0.35"/>
  <cols>
    <col min="1" max="1" width="24.26953125" customWidth="1"/>
    <col min="2" max="2" width="39" customWidth="1"/>
    <col min="3" max="3" width="30.36328125" customWidth="1"/>
  </cols>
  <sheetData>
    <row r="1" spans="1:3" x14ac:dyDescent="0.35">
      <c r="A1" s="5" t="s">
        <v>6</v>
      </c>
      <c r="B1" s="5" t="s">
        <v>7</v>
      </c>
      <c r="C1" s="5" t="s">
        <v>8</v>
      </c>
    </row>
    <row r="2" spans="1:3" x14ac:dyDescent="0.35">
      <c r="A2" s="4" t="s">
        <v>9</v>
      </c>
      <c r="B2" s="4">
        <v>50</v>
      </c>
      <c r="C2" s="4"/>
    </row>
    <row r="3" spans="1:3" x14ac:dyDescent="0.35">
      <c r="A3" s="4" t="s">
        <v>5</v>
      </c>
      <c r="B3" s="4">
        <f>COUNTIF(Dataset!D2:D51,"Lulus")</f>
        <v>25</v>
      </c>
      <c r="C3" s="4">
        <f>B3/$B$2</f>
        <v>0.5</v>
      </c>
    </row>
    <row r="4" spans="1:3" s="3" customFormat="1" x14ac:dyDescent="0.35">
      <c r="A4" s="4" t="s">
        <v>4</v>
      </c>
      <c r="B4" s="4">
        <f>COUNTIF(Dataset!D2:D51,"Tidak Lulus")</f>
        <v>25</v>
      </c>
      <c r="C4" s="4">
        <f>B4/$B$2</f>
        <v>0.5</v>
      </c>
    </row>
    <row r="5" spans="1:3" s="3" customFormat="1" x14ac:dyDescent="0.35"/>
    <row r="6" spans="1:3" s="3" customFormat="1" x14ac:dyDescent="0.35">
      <c r="A6" s="6" t="s">
        <v>10</v>
      </c>
      <c r="B6" s="4"/>
      <c r="C6" s="4"/>
    </row>
    <row r="7" spans="1:3" s="3" customFormat="1" x14ac:dyDescent="0.35">
      <c r="A7" s="4" t="s">
        <v>11</v>
      </c>
      <c r="B7" s="4" t="s">
        <v>1</v>
      </c>
      <c r="C7" s="4" t="s">
        <v>2</v>
      </c>
    </row>
    <row r="8" spans="1:3" s="3" customFormat="1" x14ac:dyDescent="0.35">
      <c r="A8" s="4" t="s">
        <v>5</v>
      </c>
      <c r="B8" s="4">
        <f>AVERAGEIF(Dataset!D2:D51,"Lulus",Dataset!B2:B51)</f>
        <v>7.44</v>
      </c>
      <c r="C8" s="4">
        <f>AVERAGEIF(Dataset!D2:D51,"Lulus",Dataset!C2:C51)</f>
        <v>75.16</v>
      </c>
    </row>
    <row r="9" spans="1:3" s="3" customFormat="1" x14ac:dyDescent="0.35">
      <c r="A9" s="4" t="s">
        <v>4</v>
      </c>
      <c r="B9" s="4">
        <f>AVERAGEIF(Dataset!D2:D51,"Tidak Lulus",Dataset!B2:B51)</f>
        <v>3.44</v>
      </c>
      <c r="C9" s="4">
        <f>AVERAGEIF(Dataset!D2:D51,"Tidak Lulus",Dataset!C2:C51)</f>
        <v>58.52</v>
      </c>
    </row>
    <row r="10" spans="1:3" s="3" customFormat="1" x14ac:dyDescent="0.35"/>
    <row r="11" spans="1:3" s="3" customFormat="1" x14ac:dyDescent="0.35">
      <c r="A11" s="7" t="s">
        <v>12</v>
      </c>
      <c r="B11" s="4"/>
      <c r="C11" s="4"/>
    </row>
    <row r="12" spans="1:3" s="3" customFormat="1" x14ac:dyDescent="0.35">
      <c r="A12" s="4" t="s">
        <v>11</v>
      </c>
      <c r="B12" s="4" t="s">
        <v>13</v>
      </c>
      <c r="C12" s="4" t="s">
        <v>2</v>
      </c>
    </row>
    <row r="13" spans="1:3" s="3" customFormat="1" x14ac:dyDescent="0.35">
      <c r="A13" s="4" t="s">
        <v>5</v>
      </c>
      <c r="B13" s="4" cm="1">
        <f t="array" ref="B13">_xlfn.VAR.S(_xlfn._xlws.FILTER(Dataset!B2:B51,Dataset!D2:D51="Lulus"))</f>
        <v>2.0066666666666699</v>
      </c>
      <c r="C13" s="4" cm="1">
        <f t="array" ref="C13">_xlfn.VAR.S(_xlfn._xlws.FILTER(Dataset!C2:C51,Dataset!D2:D51="Lulus"))</f>
        <v>46.306666666666672</v>
      </c>
    </row>
    <row r="14" spans="1:3" s="3" customFormat="1" x14ac:dyDescent="0.35">
      <c r="A14" s="4" t="s">
        <v>4</v>
      </c>
      <c r="B14" s="4" cm="1">
        <f t="array" ref="B14">_xlfn.VAR.S(_xlfn._xlws.FILTER(Dataset!B2:B51,Dataset!D2:D51="Tidak Lulus"))</f>
        <v>2.0066666666666677</v>
      </c>
      <c r="C14" s="4" cm="1">
        <f t="array" ref="C14">_xlfn.VAR.S(_xlfn._xlws.FILTER(Dataset!C2:C51,Dataset!D2:D51="Tidak Lulus"))</f>
        <v>24.176666666666677</v>
      </c>
    </row>
    <row r="15" spans="1:3" s="3" customFormat="1" x14ac:dyDescent="0.35"/>
    <row r="16" spans="1:3" s="3" customFormat="1" x14ac:dyDescent="0.35">
      <c r="A16" s="8" t="s">
        <v>14</v>
      </c>
      <c r="B16" s="4"/>
    </row>
    <row r="17" spans="1:2" s="3" customFormat="1" x14ac:dyDescent="0.35">
      <c r="A17" s="4" t="s">
        <v>1</v>
      </c>
      <c r="B17" s="4">
        <v>3</v>
      </c>
    </row>
    <row r="18" spans="1:2" s="3" customFormat="1" x14ac:dyDescent="0.35">
      <c r="A18" s="4" t="s">
        <v>2</v>
      </c>
      <c r="B18" s="4">
        <v>50</v>
      </c>
    </row>
    <row r="19" spans="1:2" s="3" customFormat="1" x14ac:dyDescent="0.35"/>
    <row r="20" spans="1:2" s="3" customFormat="1" x14ac:dyDescent="0.35">
      <c r="A20" s="11" t="s">
        <v>15</v>
      </c>
      <c r="B20" s="4">
        <f>(1/SQRT(2*PI()*B13))*EXP(-((B17-B8)^2)/(2*B13))</f>
        <v>2.0720794792606105E-3</v>
      </c>
    </row>
    <row r="21" spans="1:2" s="3" customFormat="1" x14ac:dyDescent="0.35">
      <c r="A21" s="11" t="s">
        <v>16</v>
      </c>
      <c r="B21" s="4">
        <f>(1/SQRT(2*PI()*B14))*EXP(-((B17-B9)^2)/(2*B14))</f>
        <v>0.26836287015202454</v>
      </c>
    </row>
    <row r="22" spans="1:2" s="3" customFormat="1" x14ac:dyDescent="0.35">
      <c r="A22" s="11" t="s">
        <v>17</v>
      </c>
      <c r="B22" s="4">
        <f>(1/SQRT(2*PI()*C13))*EXP(-((B18-C8)^2)/(2*C13))</f>
        <v>6.3040895311618618E-5</v>
      </c>
    </row>
    <row r="23" spans="1:2" s="3" customFormat="1" x14ac:dyDescent="0.35">
      <c r="A23" s="11" t="s">
        <v>18</v>
      </c>
      <c r="B23" s="4">
        <f>(1/SQRT(2*PI()*C14))*EXP(-((B18-C9)^2)/(2*C14))</f>
        <v>1.8081216140973463E-2</v>
      </c>
    </row>
    <row r="24" spans="1:2" s="3" customFormat="1" x14ac:dyDescent="0.35"/>
    <row r="25" spans="1:2" s="3" customFormat="1" x14ac:dyDescent="0.35">
      <c r="A25" s="9" t="s">
        <v>19</v>
      </c>
      <c r="B25" s="4">
        <f>C3*B20*B22</f>
        <v>6.5312872764710685E-8</v>
      </c>
    </row>
    <row r="26" spans="1:2" s="3" customFormat="1" x14ac:dyDescent="0.35">
      <c r="A26" s="9" t="s">
        <v>20</v>
      </c>
      <c r="B26" s="4">
        <f>C4*B21*B23</f>
        <v>2.4261635297153756E-3</v>
      </c>
    </row>
    <row r="27" spans="1:2" s="3" customFormat="1" x14ac:dyDescent="0.35">
      <c r="A27" s="4"/>
      <c r="B27" s="4"/>
    </row>
    <row r="28" spans="1:2" s="3" customFormat="1" x14ac:dyDescent="0.35">
      <c r="A28" s="10" t="s">
        <v>21</v>
      </c>
      <c r="B28" s="4" t="str">
        <f>IF(B25&gt;B26,"Lulus","Tidak Lulus")</f>
        <v>Tidak Lulus</v>
      </c>
    </row>
    <row r="35" spans="1:3" x14ac:dyDescent="0.35">
      <c r="A35" s="13" t="s">
        <v>27</v>
      </c>
      <c r="B35" s="13"/>
      <c r="C35" s="13"/>
    </row>
    <row r="36" spans="1:3" x14ac:dyDescent="0.35">
      <c r="A36" s="12" t="s">
        <v>23</v>
      </c>
      <c r="B36" s="12"/>
      <c r="C36" s="12"/>
    </row>
    <row r="37" spans="1:3" x14ac:dyDescent="0.35">
      <c r="A37" s="12" t="s">
        <v>22</v>
      </c>
      <c r="B37" s="12"/>
      <c r="C37" s="12"/>
    </row>
    <row r="38" spans="1:3" x14ac:dyDescent="0.35">
      <c r="A38" s="12" t="s">
        <v>24</v>
      </c>
      <c r="B38" s="12"/>
      <c r="C38" s="12"/>
    </row>
    <row r="39" spans="1:3" x14ac:dyDescent="0.35">
      <c r="A39" s="12" t="s">
        <v>25</v>
      </c>
      <c r="B39" s="12"/>
      <c r="C39" s="12"/>
    </row>
    <row r="40" spans="1:3" x14ac:dyDescent="0.35">
      <c r="A40" s="12" t="s">
        <v>26</v>
      </c>
      <c r="B40" s="12"/>
      <c r="C40" s="12"/>
    </row>
    <row r="41" spans="1:3" x14ac:dyDescent="0.35">
      <c r="A41" s="14"/>
      <c r="B41" s="14"/>
      <c r="C41" s="14"/>
    </row>
    <row r="42" spans="1:3" x14ac:dyDescent="0.35">
      <c r="A42" s="14"/>
      <c r="B42" s="14"/>
      <c r="C42" s="14"/>
    </row>
  </sheetData>
  <mergeCells count="6">
    <mergeCell ref="A35:C35"/>
    <mergeCell ref="A37:C37"/>
    <mergeCell ref="A38:C38"/>
    <mergeCell ref="A40:C40"/>
    <mergeCell ref="A39:C39"/>
    <mergeCell ref="A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ED59-2F2D-4EB5-8FAF-38B10FEE81EE}">
  <dimension ref="A1:C42"/>
  <sheetViews>
    <sheetView zoomScale="73" workbookViewId="0">
      <selection activeCell="C17" sqref="C17"/>
    </sheetView>
  </sheetViews>
  <sheetFormatPr defaultRowHeight="14.5" x14ac:dyDescent="0.35"/>
  <cols>
    <col min="1" max="1" width="24.26953125" customWidth="1"/>
    <col min="2" max="2" width="39" customWidth="1"/>
    <col min="3" max="3" width="30.36328125" customWidth="1"/>
  </cols>
  <sheetData>
    <row r="1" spans="1:3" x14ac:dyDescent="0.35">
      <c r="A1" s="5" t="s">
        <v>6</v>
      </c>
      <c r="B1" s="5" t="s">
        <v>7</v>
      </c>
      <c r="C1" s="5" t="s">
        <v>8</v>
      </c>
    </row>
    <row r="2" spans="1:3" x14ac:dyDescent="0.35">
      <c r="A2" s="4" t="s">
        <v>9</v>
      </c>
      <c r="B2" s="4">
        <v>50</v>
      </c>
      <c r="C2" s="4"/>
    </row>
    <row r="3" spans="1:3" x14ac:dyDescent="0.35">
      <c r="A3" s="4" t="s">
        <v>5</v>
      </c>
      <c r="B3" s="4">
        <f>COUNTIF(Dataset!D2:D51,"Lulus")</f>
        <v>25</v>
      </c>
      <c r="C3" s="4">
        <f>B3/$B$2</f>
        <v>0.5</v>
      </c>
    </row>
    <row r="4" spans="1:3" s="3" customFormat="1" x14ac:dyDescent="0.35">
      <c r="A4" s="4" t="s">
        <v>4</v>
      </c>
      <c r="B4" s="4">
        <f>COUNTIF(Dataset!D2:D51,"Tidak Lulus")</f>
        <v>25</v>
      </c>
      <c r="C4" s="4">
        <f>B4/$B$2</f>
        <v>0.5</v>
      </c>
    </row>
    <row r="5" spans="1:3" s="3" customFormat="1" x14ac:dyDescent="0.35"/>
    <row r="6" spans="1:3" s="3" customFormat="1" x14ac:dyDescent="0.35">
      <c r="A6" s="6" t="s">
        <v>10</v>
      </c>
      <c r="B6" s="4"/>
      <c r="C6" s="4"/>
    </row>
    <row r="7" spans="1:3" s="3" customFormat="1" x14ac:dyDescent="0.35">
      <c r="A7" s="4" t="s">
        <v>11</v>
      </c>
      <c r="B7" s="4" t="s">
        <v>1</v>
      </c>
      <c r="C7" s="4" t="s">
        <v>2</v>
      </c>
    </row>
    <row r="8" spans="1:3" s="3" customFormat="1" x14ac:dyDescent="0.35">
      <c r="A8" s="4" t="s">
        <v>5</v>
      </c>
      <c r="B8" s="4">
        <f>AVERAGEIF(Dataset!D2:D51,"Lulus",Dataset!B2:B51)</f>
        <v>7.44</v>
      </c>
      <c r="C8" s="4">
        <f>AVERAGEIF(Dataset!D2:D51,"Lulus",Dataset!C2:C51)</f>
        <v>75.16</v>
      </c>
    </row>
    <row r="9" spans="1:3" s="3" customFormat="1" x14ac:dyDescent="0.35">
      <c r="A9" s="4" t="s">
        <v>4</v>
      </c>
      <c r="B9" s="4">
        <f>AVERAGEIF(Dataset!D2:D51,"Tidak Lulus",Dataset!B2:B51)</f>
        <v>3.44</v>
      </c>
      <c r="C9" s="4">
        <f>AVERAGEIF(Dataset!D2:D51,"Tidak Lulus",Dataset!C2:C51)</f>
        <v>58.52</v>
      </c>
    </row>
    <row r="10" spans="1:3" s="3" customFormat="1" x14ac:dyDescent="0.35"/>
    <row r="11" spans="1:3" s="3" customFormat="1" x14ac:dyDescent="0.35">
      <c r="A11" s="7" t="s">
        <v>12</v>
      </c>
      <c r="B11" s="4"/>
      <c r="C11" s="4"/>
    </row>
    <row r="12" spans="1:3" s="3" customFormat="1" x14ac:dyDescent="0.35">
      <c r="A12" s="4" t="s">
        <v>11</v>
      </c>
      <c r="B12" s="4" t="s">
        <v>13</v>
      </c>
      <c r="C12" s="4" t="s">
        <v>2</v>
      </c>
    </row>
    <row r="13" spans="1:3" s="3" customFormat="1" x14ac:dyDescent="0.35">
      <c r="A13" s="4" t="s">
        <v>5</v>
      </c>
      <c r="B13" s="4" cm="1">
        <f t="array" ref="B13">_xlfn.VAR.S(_xlfn._xlws.FILTER(Dataset!B2:B51,Dataset!D2:D51="Lulus"))</f>
        <v>2.0066666666666699</v>
      </c>
      <c r="C13" s="4" cm="1">
        <f t="array" ref="C13">_xlfn.VAR.S(_xlfn._xlws.FILTER(Dataset!C2:C51,Dataset!D2:D51="Lulus"))</f>
        <v>46.306666666666672</v>
      </c>
    </row>
    <row r="14" spans="1:3" s="3" customFormat="1" x14ac:dyDescent="0.35">
      <c r="A14" s="4" t="s">
        <v>4</v>
      </c>
      <c r="B14" s="4" cm="1">
        <f t="array" ref="B14">_xlfn.VAR.S(_xlfn._xlws.FILTER(Dataset!B2:B51,Dataset!D2:D51="Tidak Lulus"))</f>
        <v>2.0066666666666677</v>
      </c>
      <c r="C14" s="4" cm="1">
        <f t="array" ref="C14">_xlfn.VAR.S(_xlfn._xlws.FILTER(Dataset!C2:C51,Dataset!D2:D51="Tidak Lulus"))</f>
        <v>24.176666666666677</v>
      </c>
    </row>
    <row r="15" spans="1:3" s="3" customFormat="1" x14ac:dyDescent="0.35"/>
    <row r="16" spans="1:3" s="3" customFormat="1" x14ac:dyDescent="0.35">
      <c r="A16" s="8" t="s">
        <v>14</v>
      </c>
      <c r="B16" s="4"/>
    </row>
    <row r="17" spans="1:2" s="3" customFormat="1" x14ac:dyDescent="0.35">
      <c r="A17" s="4" t="s">
        <v>1</v>
      </c>
      <c r="B17" s="4">
        <v>4</v>
      </c>
    </row>
    <row r="18" spans="1:2" s="3" customFormat="1" x14ac:dyDescent="0.35">
      <c r="A18" s="4" t="s">
        <v>2</v>
      </c>
      <c r="B18" s="4">
        <v>55</v>
      </c>
    </row>
    <row r="19" spans="1:2" s="3" customFormat="1" x14ac:dyDescent="0.35"/>
    <row r="20" spans="1:2" s="3" customFormat="1" x14ac:dyDescent="0.35">
      <c r="A20" s="11" t="s">
        <v>15</v>
      </c>
      <c r="B20" s="4">
        <f>(1/SQRT(2*PI()*B13))*EXP(-((B17-B8)^2)/(2*B13))</f>
        <v>1.4761284363438421E-2</v>
      </c>
    </row>
    <row r="21" spans="1:2" s="3" customFormat="1" x14ac:dyDescent="0.35">
      <c r="A21" s="11" t="s">
        <v>16</v>
      </c>
      <c r="B21" s="4">
        <f>(1/SQRT(2*PI()*B14))*EXP(-((B17-B9)^2)/(2*B14))</f>
        <v>0.26045750663561507</v>
      </c>
    </row>
    <row r="22" spans="1:2" s="3" customFormat="1" x14ac:dyDescent="0.35">
      <c r="A22" s="11" t="s">
        <v>17</v>
      </c>
      <c r="B22" s="4">
        <f>(1/SQRT(2*PI()*C13))*EXP(-((B18-C8)^2)/(2*C13))</f>
        <v>7.2815619574229551E-4</v>
      </c>
    </row>
    <row r="23" spans="1:2" s="3" customFormat="1" x14ac:dyDescent="0.35">
      <c r="A23" s="11" t="s">
        <v>18</v>
      </c>
      <c r="B23" s="4">
        <f>(1/SQRT(2*PI()*C14))*EXP(-((B18-C9)^2)/(2*C14))</f>
        <v>6.279501461716501E-2</v>
      </c>
    </row>
    <row r="24" spans="1:2" s="3" customFormat="1" x14ac:dyDescent="0.35"/>
    <row r="25" spans="1:2" s="3" customFormat="1" x14ac:dyDescent="0.35">
      <c r="A25" s="9" t="s">
        <v>19</v>
      </c>
      <c r="B25" s="4">
        <f>C3*B20*B22</f>
        <v>5.3742603331757766E-6</v>
      </c>
    </row>
    <row r="26" spans="1:2" s="3" customFormat="1" x14ac:dyDescent="0.35">
      <c r="A26" s="9" t="s">
        <v>20</v>
      </c>
      <c r="B26" s="4">
        <f>C4*B21*B23</f>
        <v>8.1777164681669009E-3</v>
      </c>
    </row>
    <row r="27" spans="1:2" s="3" customFormat="1" x14ac:dyDescent="0.35">
      <c r="A27" s="4"/>
      <c r="B27" s="4"/>
    </row>
    <row r="28" spans="1:2" s="3" customFormat="1" x14ac:dyDescent="0.35">
      <c r="A28" s="10" t="s">
        <v>21</v>
      </c>
      <c r="B28" s="4" t="str">
        <f>IF(B25&gt;B26,"Lulus","Tidak Lulus")</f>
        <v>Tidak Lulus</v>
      </c>
    </row>
    <row r="35" spans="1:3" x14ac:dyDescent="0.35">
      <c r="A35" s="15"/>
      <c r="B35" s="15"/>
      <c r="C35" s="15"/>
    </row>
    <row r="36" spans="1:3" x14ac:dyDescent="0.35">
      <c r="A36" s="16"/>
      <c r="B36" s="16"/>
      <c r="C36" s="16"/>
    </row>
    <row r="37" spans="1:3" x14ac:dyDescent="0.35">
      <c r="A37" s="16"/>
      <c r="B37" s="16"/>
      <c r="C37" s="16"/>
    </row>
    <row r="38" spans="1:3" x14ac:dyDescent="0.35">
      <c r="A38" s="16"/>
      <c r="B38" s="16"/>
      <c r="C38" s="16"/>
    </row>
    <row r="39" spans="1:3" x14ac:dyDescent="0.35">
      <c r="A39" s="16"/>
      <c r="B39" s="16"/>
      <c r="C39" s="16"/>
    </row>
    <row r="40" spans="1:3" x14ac:dyDescent="0.35">
      <c r="A40" s="16"/>
      <c r="B40" s="16"/>
      <c r="C40" s="16"/>
    </row>
    <row r="41" spans="1:3" x14ac:dyDescent="0.35">
      <c r="A41" s="14"/>
      <c r="B41" s="14"/>
      <c r="C41" s="14"/>
    </row>
    <row r="42" spans="1:3" x14ac:dyDescent="0.35">
      <c r="A42" s="14"/>
      <c r="B42" s="14"/>
      <c r="C4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B448-2F65-44B4-85AD-167B49E1AD6D}">
  <dimension ref="A1:C42"/>
  <sheetViews>
    <sheetView zoomScale="73" workbookViewId="0">
      <selection activeCell="B17" sqref="B17"/>
    </sheetView>
  </sheetViews>
  <sheetFormatPr defaultRowHeight="14.5" x14ac:dyDescent="0.35"/>
  <cols>
    <col min="1" max="1" width="24.26953125" customWidth="1"/>
    <col min="2" max="2" width="39" customWidth="1"/>
    <col min="3" max="3" width="30.36328125" customWidth="1"/>
  </cols>
  <sheetData>
    <row r="1" spans="1:3" x14ac:dyDescent="0.35">
      <c r="A1" s="5" t="s">
        <v>6</v>
      </c>
      <c r="B1" s="5" t="s">
        <v>7</v>
      </c>
      <c r="C1" s="5" t="s">
        <v>8</v>
      </c>
    </row>
    <row r="2" spans="1:3" x14ac:dyDescent="0.35">
      <c r="A2" s="4" t="s">
        <v>9</v>
      </c>
      <c r="B2" s="4">
        <v>50</v>
      </c>
      <c r="C2" s="4"/>
    </row>
    <row r="3" spans="1:3" x14ac:dyDescent="0.35">
      <c r="A3" s="4" t="s">
        <v>5</v>
      </c>
      <c r="B3" s="4">
        <f>COUNTIF(Dataset!D2:D51,"Lulus")</f>
        <v>25</v>
      </c>
      <c r="C3" s="4">
        <f>B3/$B$2</f>
        <v>0.5</v>
      </c>
    </row>
    <row r="4" spans="1:3" s="3" customFormat="1" x14ac:dyDescent="0.35">
      <c r="A4" s="4" t="s">
        <v>4</v>
      </c>
      <c r="B4" s="4">
        <f>COUNTIF(Dataset!D2:D51,"Tidak Lulus")</f>
        <v>25</v>
      </c>
      <c r="C4" s="4">
        <f>B4/$B$2</f>
        <v>0.5</v>
      </c>
    </row>
    <row r="5" spans="1:3" s="3" customFormat="1" x14ac:dyDescent="0.35"/>
    <row r="6" spans="1:3" s="3" customFormat="1" x14ac:dyDescent="0.35">
      <c r="A6" s="6" t="s">
        <v>10</v>
      </c>
      <c r="B6" s="4"/>
      <c r="C6" s="4"/>
    </row>
    <row r="7" spans="1:3" s="3" customFormat="1" x14ac:dyDescent="0.35">
      <c r="A7" s="4" t="s">
        <v>11</v>
      </c>
      <c r="B7" s="4" t="s">
        <v>1</v>
      </c>
      <c r="C7" s="4" t="s">
        <v>2</v>
      </c>
    </row>
    <row r="8" spans="1:3" s="3" customFormat="1" x14ac:dyDescent="0.35">
      <c r="A8" s="4" t="s">
        <v>5</v>
      </c>
      <c r="B8" s="4">
        <f>AVERAGEIF(Dataset!D2:D51,"Lulus",Dataset!B2:B51)</f>
        <v>7.44</v>
      </c>
      <c r="C8" s="4">
        <f>AVERAGEIF(Dataset!D2:D51,"Lulus",Dataset!C2:C51)</f>
        <v>75.16</v>
      </c>
    </row>
    <row r="9" spans="1:3" s="3" customFormat="1" x14ac:dyDescent="0.35">
      <c r="A9" s="4" t="s">
        <v>4</v>
      </c>
      <c r="B9" s="4">
        <f>AVERAGEIF(Dataset!D2:D51,"Tidak Lulus",Dataset!B2:B51)</f>
        <v>3.44</v>
      </c>
      <c r="C9" s="4">
        <f>AVERAGEIF(Dataset!D2:D51,"Tidak Lulus",Dataset!C2:C51)</f>
        <v>58.52</v>
      </c>
    </row>
    <row r="10" spans="1:3" s="3" customFormat="1" x14ac:dyDescent="0.35"/>
    <row r="11" spans="1:3" s="3" customFormat="1" x14ac:dyDescent="0.35">
      <c r="A11" s="7" t="s">
        <v>12</v>
      </c>
      <c r="B11" s="4"/>
      <c r="C11" s="4"/>
    </row>
    <row r="12" spans="1:3" s="3" customFormat="1" x14ac:dyDescent="0.35">
      <c r="A12" s="4" t="s">
        <v>11</v>
      </c>
      <c r="B12" s="4" t="s">
        <v>13</v>
      </c>
      <c r="C12" s="4" t="s">
        <v>2</v>
      </c>
    </row>
    <row r="13" spans="1:3" s="3" customFormat="1" x14ac:dyDescent="0.35">
      <c r="A13" s="4" t="s">
        <v>5</v>
      </c>
      <c r="B13" s="4" cm="1">
        <f t="array" ref="B13">_xlfn.VAR.S(_xlfn._xlws.FILTER(Dataset!B2:B51,Dataset!D2:D51="Lulus"))</f>
        <v>2.0066666666666699</v>
      </c>
      <c r="C13" s="4" cm="1">
        <f t="array" ref="C13">_xlfn.VAR.S(_xlfn._xlws.FILTER(Dataset!C2:C51,Dataset!D2:D51="Lulus"))</f>
        <v>46.306666666666672</v>
      </c>
    </row>
    <row r="14" spans="1:3" s="3" customFormat="1" x14ac:dyDescent="0.35">
      <c r="A14" s="4" t="s">
        <v>4</v>
      </c>
      <c r="B14" s="4" cm="1">
        <f t="array" ref="B14">_xlfn.VAR.S(_xlfn._xlws.FILTER(Dataset!B2:B51,Dataset!D2:D51="Tidak Lulus"))</f>
        <v>2.0066666666666677</v>
      </c>
      <c r="C14" s="4" cm="1">
        <f t="array" ref="C14">_xlfn.VAR.S(_xlfn._xlws.FILTER(Dataset!C2:C51,Dataset!D2:D51="Tidak Lulus"))</f>
        <v>24.176666666666677</v>
      </c>
    </row>
    <row r="15" spans="1:3" s="3" customFormat="1" x14ac:dyDescent="0.35"/>
    <row r="16" spans="1:3" s="3" customFormat="1" x14ac:dyDescent="0.35">
      <c r="A16" s="8" t="s">
        <v>14</v>
      </c>
      <c r="B16" s="4"/>
    </row>
    <row r="17" spans="1:2" s="3" customFormat="1" x14ac:dyDescent="0.35">
      <c r="A17" s="4" t="s">
        <v>1</v>
      </c>
      <c r="B17" s="4">
        <v>5</v>
      </c>
    </row>
    <row r="18" spans="1:2" s="3" customFormat="1" x14ac:dyDescent="0.35">
      <c r="A18" s="4" t="s">
        <v>2</v>
      </c>
      <c r="B18" s="4">
        <v>60</v>
      </c>
    </row>
    <row r="19" spans="1:2" s="3" customFormat="1" x14ac:dyDescent="0.35"/>
    <row r="20" spans="1:2" s="3" customFormat="1" x14ac:dyDescent="0.35">
      <c r="A20" s="11" t="s">
        <v>15</v>
      </c>
      <c r="B20" s="4">
        <f>(1/SQRT(2*PI()*B13))*EXP(-((B17-B8)^2)/(2*B13))</f>
        <v>6.3887524715209754E-2</v>
      </c>
    </row>
    <row r="21" spans="1:2" s="3" customFormat="1" x14ac:dyDescent="0.35">
      <c r="A21" s="11" t="s">
        <v>16</v>
      </c>
      <c r="B21" s="4">
        <f>(1/SQRT(2*PI()*B14))*EXP(-((B17-B9)^2)/(2*B14))</f>
        <v>0.15357676241525606</v>
      </c>
    </row>
    <row r="22" spans="1:2" s="3" customFormat="1" x14ac:dyDescent="0.35">
      <c r="A22" s="11" t="s">
        <v>17</v>
      </c>
      <c r="B22" s="4">
        <f>(1/SQRT(2*PI()*C13))*EXP(-((B18-C8)^2)/(2*C13))</f>
        <v>4.9018523571423027E-3</v>
      </c>
    </row>
    <row r="23" spans="1:2" s="3" customFormat="1" x14ac:dyDescent="0.35">
      <c r="A23" s="11" t="s">
        <v>18</v>
      </c>
      <c r="B23" s="4">
        <f>(1/SQRT(2*PI()*C14))*EXP(-((B18-C9)^2)/(2*C14))</f>
        <v>7.7542244603621802E-2</v>
      </c>
    </row>
    <row r="24" spans="1:2" s="3" customFormat="1" x14ac:dyDescent="0.35"/>
    <row r="25" spans="1:2" s="3" customFormat="1" x14ac:dyDescent="0.35">
      <c r="A25" s="9" t="s">
        <v>19</v>
      </c>
      <c r="B25" s="4">
        <f>C3*B20*B22</f>
        <v>1.5658360680861902E-4</v>
      </c>
    </row>
    <row r="26" spans="1:2" s="3" customFormat="1" x14ac:dyDescent="0.35">
      <c r="A26" s="9" t="s">
        <v>20</v>
      </c>
      <c r="B26" s="4">
        <f>C4*B21*B23</f>
        <v>5.9543434383180485E-3</v>
      </c>
    </row>
    <row r="27" spans="1:2" s="3" customFormat="1" x14ac:dyDescent="0.35">
      <c r="A27" s="4"/>
      <c r="B27" s="4"/>
    </row>
    <row r="28" spans="1:2" s="3" customFormat="1" x14ac:dyDescent="0.35">
      <c r="A28" s="10" t="s">
        <v>21</v>
      </c>
      <c r="B28" s="4" t="str">
        <f>IF(B25&gt;B26,"Lulus","Tidak Lulus")</f>
        <v>Tidak Lulus</v>
      </c>
    </row>
    <row r="35" spans="1:3" x14ac:dyDescent="0.35">
      <c r="A35" s="15"/>
      <c r="B35" s="15"/>
      <c r="C35" s="15"/>
    </row>
    <row r="36" spans="1:3" x14ac:dyDescent="0.35">
      <c r="A36" s="16"/>
      <c r="B36" s="16"/>
      <c r="C36" s="16"/>
    </row>
    <row r="37" spans="1:3" x14ac:dyDescent="0.35">
      <c r="A37" s="16"/>
      <c r="B37" s="16"/>
      <c r="C37" s="16"/>
    </row>
    <row r="38" spans="1:3" x14ac:dyDescent="0.35">
      <c r="A38" s="16"/>
      <c r="B38" s="16"/>
      <c r="C38" s="16"/>
    </row>
    <row r="39" spans="1:3" x14ac:dyDescent="0.35">
      <c r="A39" s="16"/>
      <c r="B39" s="16"/>
      <c r="C39" s="16"/>
    </row>
    <row r="40" spans="1:3" x14ac:dyDescent="0.35">
      <c r="A40" s="16"/>
      <c r="B40" s="16"/>
      <c r="C40" s="16"/>
    </row>
    <row r="41" spans="1:3" x14ac:dyDescent="0.35">
      <c r="A41" s="14"/>
      <c r="B41" s="14"/>
      <c r="C41" s="14"/>
    </row>
    <row r="42" spans="1:3" x14ac:dyDescent="0.35">
      <c r="A42" s="14"/>
      <c r="B42" s="14"/>
      <c r="C4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CF2-0B6D-4DFD-B87F-D04F4D073518}">
  <dimension ref="A1:C42"/>
  <sheetViews>
    <sheetView zoomScale="73" workbookViewId="0">
      <selection activeCell="B18" sqref="B18"/>
    </sheetView>
  </sheetViews>
  <sheetFormatPr defaultRowHeight="14.5" x14ac:dyDescent="0.35"/>
  <cols>
    <col min="1" max="1" width="24.26953125" customWidth="1"/>
    <col min="2" max="2" width="39" customWidth="1"/>
    <col min="3" max="3" width="30.36328125" customWidth="1"/>
  </cols>
  <sheetData>
    <row r="1" spans="1:3" x14ac:dyDescent="0.35">
      <c r="A1" s="5" t="s">
        <v>6</v>
      </c>
      <c r="B1" s="5" t="s">
        <v>7</v>
      </c>
      <c r="C1" s="5" t="s">
        <v>8</v>
      </c>
    </row>
    <row r="2" spans="1:3" x14ac:dyDescent="0.35">
      <c r="A2" s="4" t="s">
        <v>9</v>
      </c>
      <c r="B2" s="4">
        <v>50</v>
      </c>
      <c r="C2" s="4"/>
    </row>
    <row r="3" spans="1:3" x14ac:dyDescent="0.35">
      <c r="A3" s="4" t="s">
        <v>5</v>
      </c>
      <c r="B3" s="4">
        <f>COUNTIF(Dataset!D2:D51,"Lulus")</f>
        <v>25</v>
      </c>
      <c r="C3" s="4">
        <f>B3/$B$2</f>
        <v>0.5</v>
      </c>
    </row>
    <row r="4" spans="1:3" s="3" customFormat="1" x14ac:dyDescent="0.35">
      <c r="A4" s="4" t="s">
        <v>4</v>
      </c>
      <c r="B4" s="4">
        <f>COUNTIF(Dataset!D2:D51,"Tidak Lulus")</f>
        <v>25</v>
      </c>
      <c r="C4" s="4">
        <f>B4/$B$2</f>
        <v>0.5</v>
      </c>
    </row>
    <row r="5" spans="1:3" s="3" customFormat="1" x14ac:dyDescent="0.35"/>
    <row r="6" spans="1:3" s="3" customFormat="1" x14ac:dyDescent="0.35">
      <c r="A6" s="6" t="s">
        <v>10</v>
      </c>
      <c r="B6" s="4"/>
      <c r="C6" s="4"/>
    </row>
    <row r="7" spans="1:3" s="3" customFormat="1" x14ac:dyDescent="0.35">
      <c r="A7" s="4" t="s">
        <v>11</v>
      </c>
      <c r="B7" s="4" t="s">
        <v>1</v>
      </c>
      <c r="C7" s="4" t="s">
        <v>2</v>
      </c>
    </row>
    <row r="8" spans="1:3" s="3" customFormat="1" x14ac:dyDescent="0.35">
      <c r="A8" s="4" t="s">
        <v>5</v>
      </c>
      <c r="B8" s="4">
        <f>AVERAGEIF(Dataset!D2:D51,"Lulus",Dataset!B2:B51)</f>
        <v>7.44</v>
      </c>
      <c r="C8" s="4">
        <f>AVERAGEIF(Dataset!D2:D51,"Lulus",Dataset!C2:C51)</f>
        <v>75.16</v>
      </c>
    </row>
    <row r="9" spans="1:3" s="3" customFormat="1" x14ac:dyDescent="0.35">
      <c r="A9" s="4" t="s">
        <v>4</v>
      </c>
      <c r="B9" s="4">
        <f>AVERAGEIF(Dataset!D2:D51,"Tidak Lulus",Dataset!B2:B51)</f>
        <v>3.44</v>
      </c>
      <c r="C9" s="4">
        <f>AVERAGEIF(Dataset!D2:D51,"Tidak Lulus",Dataset!C2:C51)</f>
        <v>58.52</v>
      </c>
    </row>
    <row r="10" spans="1:3" s="3" customFormat="1" x14ac:dyDescent="0.35"/>
    <row r="11" spans="1:3" s="3" customFormat="1" x14ac:dyDescent="0.35">
      <c r="A11" s="7" t="s">
        <v>12</v>
      </c>
      <c r="B11" s="4"/>
      <c r="C11" s="4"/>
    </row>
    <row r="12" spans="1:3" s="3" customFormat="1" x14ac:dyDescent="0.35">
      <c r="A12" s="4" t="s">
        <v>11</v>
      </c>
      <c r="B12" s="4" t="s">
        <v>13</v>
      </c>
      <c r="C12" s="4" t="s">
        <v>2</v>
      </c>
    </row>
    <row r="13" spans="1:3" s="3" customFormat="1" x14ac:dyDescent="0.35">
      <c r="A13" s="4" t="s">
        <v>5</v>
      </c>
      <c r="B13" s="4" cm="1">
        <f t="array" ref="B13">_xlfn.VAR.S(_xlfn._xlws.FILTER(Dataset!B2:B51,Dataset!D2:D51="Lulus"))</f>
        <v>2.0066666666666699</v>
      </c>
      <c r="C13" s="4" cm="1">
        <f t="array" ref="C13">_xlfn.VAR.S(_xlfn._xlws.FILTER(Dataset!C2:C51,Dataset!D2:D51="Lulus"))</f>
        <v>46.306666666666672</v>
      </c>
    </row>
    <row r="14" spans="1:3" s="3" customFormat="1" x14ac:dyDescent="0.35">
      <c r="A14" s="4" t="s">
        <v>4</v>
      </c>
      <c r="B14" s="4" cm="1">
        <f t="array" ref="B14">_xlfn.VAR.S(_xlfn._xlws.FILTER(Dataset!B2:B51,Dataset!D2:D51="Tidak Lulus"))</f>
        <v>2.0066666666666677</v>
      </c>
      <c r="C14" s="4" cm="1">
        <f t="array" ref="C14">_xlfn.VAR.S(_xlfn._xlws.FILTER(Dataset!C2:C51,Dataset!D2:D51="Tidak Lulus"))</f>
        <v>24.176666666666677</v>
      </c>
    </row>
    <row r="15" spans="1:3" s="3" customFormat="1" x14ac:dyDescent="0.35"/>
    <row r="16" spans="1:3" s="3" customFormat="1" x14ac:dyDescent="0.35">
      <c r="A16" s="8" t="s">
        <v>14</v>
      </c>
      <c r="B16" s="4"/>
    </row>
    <row r="17" spans="1:2" s="3" customFormat="1" x14ac:dyDescent="0.35">
      <c r="A17" s="4" t="s">
        <v>1</v>
      </c>
      <c r="B17" s="4">
        <v>6</v>
      </c>
    </row>
    <row r="18" spans="1:2" s="3" customFormat="1" x14ac:dyDescent="0.35">
      <c r="A18" s="4" t="s">
        <v>2</v>
      </c>
      <c r="B18" s="4">
        <v>75</v>
      </c>
    </row>
    <row r="19" spans="1:2" s="3" customFormat="1" x14ac:dyDescent="0.35"/>
    <row r="20" spans="1:2" s="3" customFormat="1" x14ac:dyDescent="0.35">
      <c r="A20" s="11" t="s">
        <v>15</v>
      </c>
      <c r="B20" s="4">
        <f>(1/SQRT(2*PI()*B13))*EXP(-((B17-B8)^2)/(2*B13))</f>
        <v>0.16798950707862648</v>
      </c>
    </row>
    <row r="21" spans="1:2" s="3" customFormat="1" x14ac:dyDescent="0.35">
      <c r="A21" s="11" t="s">
        <v>16</v>
      </c>
      <c r="B21" s="4">
        <f>(1/SQRT(2*PI()*B14))*EXP(-((B17-B9)^2)/(2*B14))</f>
        <v>5.501591185356694E-2</v>
      </c>
    </row>
    <row r="22" spans="1:2" s="3" customFormat="1" x14ac:dyDescent="0.35">
      <c r="A22" s="11" t="s">
        <v>17</v>
      </c>
      <c r="B22" s="4">
        <f>(1/SQRT(2*PI()*C13))*EXP(-((B18-C8)^2)/(2*C13))</f>
        <v>5.860953273966827E-2</v>
      </c>
    </row>
    <row r="23" spans="1:2" s="3" customFormat="1" x14ac:dyDescent="0.35">
      <c r="A23" s="11" t="s">
        <v>18</v>
      </c>
      <c r="B23" s="4">
        <f>(1/SQRT(2*PI()*C14))*EXP(-((B18-C9)^2)/(2*C14))</f>
        <v>2.9503396880848541E-4</v>
      </c>
    </row>
    <row r="24" spans="1:2" s="3" customFormat="1" x14ac:dyDescent="0.35"/>
    <row r="25" spans="1:2" s="3" customFormat="1" x14ac:dyDescent="0.35">
      <c r="A25" s="9" t="s">
        <v>19</v>
      </c>
      <c r="B25" s="4">
        <f>C3*B20*B22</f>
        <v>4.9228932575227464E-3</v>
      </c>
    </row>
    <row r="26" spans="1:2" s="3" customFormat="1" x14ac:dyDescent="0.35">
      <c r="A26" s="9" t="s">
        <v>20</v>
      </c>
      <c r="B26" s="4">
        <f>C4*B21*B23</f>
        <v>8.1157814108878265E-6</v>
      </c>
    </row>
    <row r="27" spans="1:2" s="3" customFormat="1" x14ac:dyDescent="0.35">
      <c r="A27" s="4"/>
      <c r="B27" s="4"/>
    </row>
    <row r="28" spans="1:2" s="3" customFormat="1" x14ac:dyDescent="0.35">
      <c r="A28" s="10" t="s">
        <v>21</v>
      </c>
      <c r="B28" s="4" t="str">
        <f>IF(B25&gt;B26,"Lulus","Tidak Lulus")</f>
        <v>Lulus</v>
      </c>
    </row>
    <row r="35" spans="1:3" x14ac:dyDescent="0.35">
      <c r="A35" s="15"/>
      <c r="B35" s="15"/>
      <c r="C35" s="15"/>
    </row>
    <row r="36" spans="1:3" x14ac:dyDescent="0.35">
      <c r="A36" s="16"/>
      <c r="B36" s="16"/>
      <c r="C36" s="16"/>
    </row>
    <row r="37" spans="1:3" x14ac:dyDescent="0.35">
      <c r="A37" s="16"/>
      <c r="B37" s="16"/>
      <c r="C37" s="16"/>
    </row>
    <row r="38" spans="1:3" x14ac:dyDescent="0.35">
      <c r="A38" s="16"/>
      <c r="B38" s="16"/>
      <c r="C38" s="16"/>
    </row>
    <row r="39" spans="1:3" x14ac:dyDescent="0.35">
      <c r="A39" s="16"/>
      <c r="B39" s="16"/>
      <c r="C39" s="16"/>
    </row>
    <row r="40" spans="1:3" x14ac:dyDescent="0.35">
      <c r="A40" s="16"/>
      <c r="B40" s="16"/>
      <c r="C40" s="16"/>
    </row>
    <row r="41" spans="1:3" x14ac:dyDescent="0.35">
      <c r="A41" s="14"/>
      <c r="B41" s="14"/>
      <c r="C41" s="14"/>
    </row>
    <row r="42" spans="1:3" x14ac:dyDescent="0.35">
      <c r="A42" s="14"/>
      <c r="B42" s="14"/>
      <c r="C42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A94D-C972-447F-A7A2-F71734CC9B2A}">
  <dimension ref="A1:C42"/>
  <sheetViews>
    <sheetView tabSelected="1" zoomScale="73" workbookViewId="0">
      <selection activeCell="C21" sqref="C21"/>
    </sheetView>
  </sheetViews>
  <sheetFormatPr defaultRowHeight="14.5" x14ac:dyDescent="0.35"/>
  <cols>
    <col min="1" max="1" width="24.26953125" customWidth="1"/>
    <col min="2" max="2" width="39" customWidth="1"/>
    <col min="3" max="3" width="30.36328125" customWidth="1"/>
  </cols>
  <sheetData>
    <row r="1" spans="1:3" x14ac:dyDescent="0.35">
      <c r="A1" s="5" t="s">
        <v>6</v>
      </c>
      <c r="B1" s="5" t="s">
        <v>7</v>
      </c>
      <c r="C1" s="5" t="s">
        <v>8</v>
      </c>
    </row>
    <row r="2" spans="1:3" x14ac:dyDescent="0.35">
      <c r="A2" s="4" t="s">
        <v>9</v>
      </c>
      <c r="B2" s="4">
        <v>50</v>
      </c>
      <c r="C2" s="4"/>
    </row>
    <row r="3" spans="1:3" x14ac:dyDescent="0.35">
      <c r="A3" s="4" t="s">
        <v>5</v>
      </c>
      <c r="B3" s="4">
        <f>COUNTIF(Dataset!D2:D51,"Lulus")</f>
        <v>25</v>
      </c>
      <c r="C3" s="4">
        <f>B3/$B$2</f>
        <v>0.5</v>
      </c>
    </row>
    <row r="4" spans="1:3" s="3" customFormat="1" x14ac:dyDescent="0.35">
      <c r="A4" s="4" t="s">
        <v>4</v>
      </c>
      <c r="B4" s="4">
        <f>COUNTIF(Dataset!D2:D51,"Tidak Lulus")</f>
        <v>25</v>
      </c>
      <c r="C4" s="4">
        <f>B4/$B$2</f>
        <v>0.5</v>
      </c>
    </row>
    <row r="5" spans="1:3" s="3" customFormat="1" x14ac:dyDescent="0.35"/>
    <row r="6" spans="1:3" s="3" customFormat="1" x14ac:dyDescent="0.35">
      <c r="A6" s="6" t="s">
        <v>10</v>
      </c>
      <c r="B6" s="4"/>
      <c r="C6" s="4"/>
    </row>
    <row r="7" spans="1:3" s="3" customFormat="1" x14ac:dyDescent="0.35">
      <c r="A7" s="4" t="s">
        <v>11</v>
      </c>
      <c r="B7" s="4" t="s">
        <v>1</v>
      </c>
      <c r="C7" s="4" t="s">
        <v>2</v>
      </c>
    </row>
    <row r="8" spans="1:3" s="3" customFormat="1" x14ac:dyDescent="0.35">
      <c r="A8" s="4" t="s">
        <v>5</v>
      </c>
      <c r="B8" s="4">
        <f>AVERAGEIF(Dataset!D2:D51,"Lulus",Dataset!B2:B51)</f>
        <v>7.44</v>
      </c>
      <c r="C8" s="4">
        <f>AVERAGEIF(Dataset!D2:D51,"Lulus",Dataset!C2:C51)</f>
        <v>75.16</v>
      </c>
    </row>
    <row r="9" spans="1:3" s="3" customFormat="1" x14ac:dyDescent="0.35">
      <c r="A9" s="4" t="s">
        <v>4</v>
      </c>
      <c r="B9" s="4">
        <f>AVERAGEIF(Dataset!D2:D51,"Tidak Lulus",Dataset!B2:B51)</f>
        <v>3.44</v>
      </c>
      <c r="C9" s="4">
        <f>AVERAGEIF(Dataset!D2:D51,"Tidak Lulus",Dataset!C2:C51)</f>
        <v>58.52</v>
      </c>
    </row>
    <row r="10" spans="1:3" s="3" customFormat="1" x14ac:dyDescent="0.35"/>
    <row r="11" spans="1:3" s="3" customFormat="1" x14ac:dyDescent="0.35">
      <c r="A11" s="7" t="s">
        <v>12</v>
      </c>
      <c r="B11" s="4"/>
      <c r="C11" s="4"/>
    </row>
    <row r="12" spans="1:3" s="3" customFormat="1" x14ac:dyDescent="0.35">
      <c r="A12" s="4" t="s">
        <v>11</v>
      </c>
      <c r="B12" s="4" t="s">
        <v>13</v>
      </c>
      <c r="C12" s="4" t="s">
        <v>2</v>
      </c>
    </row>
    <row r="13" spans="1:3" s="3" customFormat="1" x14ac:dyDescent="0.35">
      <c r="A13" s="4" t="s">
        <v>5</v>
      </c>
      <c r="B13" s="4" cm="1">
        <f t="array" ref="B13">_xlfn.VAR.S(_xlfn._xlws.FILTER(Dataset!B2:B51,Dataset!D2:D51="Lulus"))</f>
        <v>2.0066666666666699</v>
      </c>
      <c r="C13" s="4" cm="1">
        <f t="array" ref="C13">_xlfn.VAR.S(_xlfn._xlws.FILTER(Dataset!C2:C51,Dataset!D2:D51="Lulus"))</f>
        <v>46.306666666666672</v>
      </c>
    </row>
    <row r="14" spans="1:3" s="3" customFormat="1" x14ac:dyDescent="0.35">
      <c r="A14" s="4" t="s">
        <v>4</v>
      </c>
      <c r="B14" s="4" cm="1">
        <f t="array" ref="B14">_xlfn.VAR.S(_xlfn._xlws.FILTER(Dataset!B2:B51,Dataset!D2:D51="Tidak Lulus"))</f>
        <v>2.0066666666666677</v>
      </c>
      <c r="C14" s="4" cm="1">
        <f t="array" ref="C14">_xlfn.VAR.S(_xlfn._xlws.FILTER(Dataset!C2:C51,Dataset!D2:D51="Tidak Lulus"))</f>
        <v>24.176666666666677</v>
      </c>
    </row>
    <row r="15" spans="1:3" s="3" customFormat="1" x14ac:dyDescent="0.35"/>
    <row r="16" spans="1:3" s="3" customFormat="1" x14ac:dyDescent="0.35">
      <c r="A16" s="8" t="s">
        <v>14</v>
      </c>
      <c r="B16" s="4"/>
    </row>
    <row r="17" spans="1:2" s="3" customFormat="1" x14ac:dyDescent="0.35">
      <c r="A17" s="4" t="s">
        <v>1</v>
      </c>
      <c r="B17" s="4">
        <v>7</v>
      </c>
    </row>
    <row r="18" spans="1:2" s="3" customFormat="1" x14ac:dyDescent="0.35">
      <c r="A18" s="4" t="s">
        <v>2</v>
      </c>
      <c r="B18" s="4">
        <v>80</v>
      </c>
    </row>
    <row r="19" spans="1:2" s="3" customFormat="1" x14ac:dyDescent="0.35"/>
    <row r="20" spans="1:2" s="3" customFormat="1" x14ac:dyDescent="0.35">
      <c r="A20" s="11" t="s">
        <v>15</v>
      </c>
      <c r="B20" s="4">
        <f>(1/SQRT(2*PI()*B13))*EXP(-((B17-B8)^2)/(2*B13))</f>
        <v>0.26836287015202437</v>
      </c>
    </row>
    <row r="21" spans="1:2" s="3" customFormat="1" x14ac:dyDescent="0.35">
      <c r="A21" s="11" t="s">
        <v>16</v>
      </c>
      <c r="B21" s="4">
        <f>(1/SQRT(2*PI()*B14))*EXP(-((B17-B9)^2)/(2*B14))</f>
        <v>1.1973615327002458E-2</v>
      </c>
    </row>
    <row r="22" spans="1:2" s="3" customFormat="1" x14ac:dyDescent="0.35">
      <c r="A22" s="11" t="s">
        <v>17</v>
      </c>
      <c r="B22" s="4">
        <f>(1/SQRT(2*PI()*C13))*EXP(-((B18-C8)^2)/(2*C13))</f>
        <v>4.5523740298792074E-2</v>
      </c>
    </row>
    <row r="23" spans="1:2" s="3" customFormat="1" x14ac:dyDescent="0.35">
      <c r="A23" s="11" t="s">
        <v>18</v>
      </c>
      <c r="B23" s="4">
        <f>(1/SQRT(2*PI()*C14))*EXP(-((B18-C9)^2)/(2*C14))</f>
        <v>5.8230151645227705E-6</v>
      </c>
    </row>
    <row r="24" spans="1:2" s="3" customFormat="1" x14ac:dyDescent="0.35"/>
    <row r="25" spans="1:2" s="3" customFormat="1" x14ac:dyDescent="0.35">
      <c r="A25" s="9" t="s">
        <v>19</v>
      </c>
      <c r="B25" s="4">
        <f>C3*B20*B22</f>
        <v>6.1084408033196085E-3</v>
      </c>
    </row>
    <row r="26" spans="1:2" s="3" customFormat="1" x14ac:dyDescent="0.35">
      <c r="A26" s="9" t="s">
        <v>20</v>
      </c>
      <c r="B26" s="4">
        <f>C4*B21*B23</f>
        <v>3.4861271811648795E-8</v>
      </c>
    </row>
    <row r="27" spans="1:2" s="3" customFormat="1" x14ac:dyDescent="0.35">
      <c r="A27" s="4"/>
      <c r="B27" s="4"/>
    </row>
    <row r="28" spans="1:2" s="3" customFormat="1" x14ac:dyDescent="0.35">
      <c r="A28" s="10" t="s">
        <v>21</v>
      </c>
      <c r="B28" s="4" t="str">
        <f>IF(B25&gt;B26,"Lulus","Tidak Lulus")</f>
        <v>Lulus</v>
      </c>
    </row>
    <row r="35" spans="1:3" x14ac:dyDescent="0.35">
      <c r="A35" s="15"/>
      <c r="B35" s="15"/>
      <c r="C35" s="15"/>
    </row>
    <row r="36" spans="1:3" x14ac:dyDescent="0.35">
      <c r="A36" s="16"/>
      <c r="B36" s="16"/>
      <c r="C36" s="16"/>
    </row>
    <row r="37" spans="1:3" x14ac:dyDescent="0.35">
      <c r="A37" s="16"/>
      <c r="B37" s="16"/>
      <c r="C37" s="16"/>
    </row>
    <row r="38" spans="1:3" x14ac:dyDescent="0.35">
      <c r="A38" s="16"/>
      <c r="B38" s="16"/>
      <c r="C38" s="16"/>
    </row>
    <row r="39" spans="1:3" x14ac:dyDescent="0.35">
      <c r="A39" s="16"/>
      <c r="B39" s="16"/>
      <c r="C39" s="16"/>
    </row>
    <row r="40" spans="1:3" x14ac:dyDescent="0.35">
      <c r="A40" s="16"/>
      <c r="B40" s="16"/>
      <c r="C40" s="16"/>
    </row>
    <row r="41" spans="1:3" x14ac:dyDescent="0.35">
      <c r="A41" s="14"/>
      <c r="B41" s="14"/>
      <c r="C41" s="14"/>
    </row>
    <row r="42" spans="1:3" x14ac:dyDescent="0.35">
      <c r="A42" s="14"/>
      <c r="B42" s="14"/>
      <c r="C4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Iterasi 1</vt:lpstr>
      <vt:lpstr>Iterasi 2</vt:lpstr>
      <vt:lpstr>Iterasi 3</vt:lpstr>
      <vt:lpstr>Iterasi 4</vt:lpstr>
      <vt:lpstr>Iterasi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Firmansyah</dc:creator>
  <cp:lastModifiedBy>Andre Firmansyah</cp:lastModifiedBy>
  <dcterms:created xsi:type="dcterms:W3CDTF">2015-06-05T18:17:20Z</dcterms:created>
  <dcterms:modified xsi:type="dcterms:W3CDTF">2026-01-14T17:42:52Z</dcterms:modified>
</cp:coreProperties>
</file>